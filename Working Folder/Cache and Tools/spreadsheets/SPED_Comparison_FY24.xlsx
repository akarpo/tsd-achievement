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ED Comparison" sheetId="1" state="visible" r:id="rId3"/>
  </sheets>
  <definedNames>
    <definedName function="false" hidden="true" localSheetId="0" name="_xlnm._FilterDatabase" vbProcedure="false">'SPED Comparison'!$A$4:$L$11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<sst xmlns="http://schemas.openxmlformats.org/spreadsheetml/2006/main" count="62" uniqueCount="47">
  <si>
    <t xml:space="preserve">Spring 2024 State-Test Proficiency — Students with Disabilities (SWD) vs. All Students</t>
  </si>
  <si>
    <t xml:space="preserve">Each state uses a different assessment and a different proficiency threshold; absolute numbers are not perfectly cross-state comparable. Within-district SWD vs. All-students gaps ARE comparable.</t>
  </si>
  <si>
    <t xml:space="preserve">District</t>
  </si>
  <si>
    <t xml:space="preserve">State</t>
  </si>
  <si>
    <t xml:space="preserve">Assessment</t>
  </si>
  <si>
    <t xml:space="preserve">Year</t>
  </si>
  <si>
    <t xml:space="preserve">Threshold (≥ proficient)</t>
  </si>
  <si>
    <t xml:space="preserve">ELA — All Students</t>
  </si>
  <si>
    <t xml:space="preserve">ELA — SWD</t>
  </si>
  <si>
    <t xml:space="preserve">ELA gap (pp)</t>
  </si>
  <si>
    <t xml:space="preserve">Math — All Students</t>
  </si>
  <si>
    <t xml:space="preserve">Math — SWD</t>
  </si>
  <si>
    <t xml:space="preserve">Math gap (pp)</t>
  </si>
  <si>
    <t xml:space="preserve">Notes</t>
  </si>
  <si>
    <t xml:space="preserve">Troy SD</t>
  </si>
  <si>
    <t xml:space="preserve">MI</t>
  </si>
  <si>
    <t xml:space="preserve">M-STEP / PSAT (gr 3-8)</t>
  </si>
  <si>
    <t xml:space="preserve">2023-24</t>
  </si>
  <si>
    <t xml:space="preserve">"Proficient" or "Advanced"</t>
  </si>
  <si>
    <t xml:space="preserve">SWD subgroup not retrievable via automation; available at MISchoolData.org → K-12 Grade → State Testing → Proficiency, with District=Troy SD (63150) + Report Category=Students with Disabilities. Overall district ~72% ELA / ~65% Math (Spring 2024).</t>
  </si>
  <si>
    <t xml:space="preserve">Palo Alto USD</t>
  </si>
  <si>
    <t xml:space="preserve">CA</t>
  </si>
  <si>
    <t xml:space="preserve">CAASPP Smarter Balanced</t>
  </si>
  <si>
    <t xml:space="preserve">"Met or Exceeded Standard"</t>
  </si>
  <si>
    <t xml:space="preserve">CAASPP all-grades aggregate (gr 3-8 + 11). N: ELA all=5,213, ELA SWD=498; Math all=5,249, Math SWD=497.</t>
  </si>
  <si>
    <t xml:space="preserve">Milpitas USD</t>
  </si>
  <si>
    <t xml:space="preserve">CAASPP all-grades aggregate (gr 3-8 + 11). N: ELA all=5,186, ELA SWD=469; Math all=5,244, Math SWD=469.</t>
  </si>
  <si>
    <t xml:space="preserve">Walnut Valley USD</t>
  </si>
  <si>
    <t xml:space="preserve">CAASPP all-grades aggregate (gr 3-8 + 11). N: ELA all=7,442, ELA SWD=515; Math all=7,567, Math SWD=514.</t>
  </si>
  <si>
    <t xml:space="preserve">Dublin USD</t>
  </si>
  <si>
    <t xml:space="preserve">CAASPP all-grades aggregate (gr 3-8 + 11). N: ELA all=6,745, ELA SWD=465; Math all=6,786, Math SWD=460.</t>
  </si>
  <si>
    <t xml:space="preserve">Coppell ISD</t>
  </si>
  <si>
    <t xml:space="preserve">TX</t>
  </si>
  <si>
    <t xml:space="preserve">STAAR (TAPR)</t>
  </si>
  <si>
    <t xml:space="preserve">"Meets Grade Level or Above"</t>
  </si>
  <si>
    <t xml:space="preserve">All Grades both subjects aggregate. SWD = "Special Ed (Current)". TX also publishes "Approaches" (lower bar): district 93%, SWD 68%.</t>
  </si>
  <si>
    <t xml:space="preserve">West Windsor-Plainsboro</t>
  </si>
  <si>
    <t xml:space="preserve">NJ</t>
  </si>
  <si>
    <t xml:space="preserve">NJSLA</t>
  </si>
  <si>
    <t xml:space="preserve">"Met or Exceeded Expectations" (Level 4-5)</t>
  </si>
  <si>
    <t xml:space="preserve">Districtwide aggregate gr 3-9. ELA SWD valid scores=469; Math SWD valid scores=468.</t>
  </si>
  <si>
    <t xml:space="preserve">Sources &amp; methodology</t>
  </si>
  <si>
    <t xml:space="preserve">• CA: CAASPP 2024 research files (https://caaspp-elpac.ets.org/caaspp/ResearchFileListSB) — district aggregate (school code 0000000), all grades (grade=13), subgroup ID 128 = "Reported disabilities".</t>
  </si>
  <si>
    <t xml:space="preserve">• TX: TAPR 2023-24 district PDF, Coppell ISD (057922). https://rptsvr1.tea.texas.gov/perfreport/tapr/2024/index.html</t>
  </si>
  <si>
    <t xml:space="preserve">• NJ: NJDOE School Performance Reports 2023-24, district detail PDF. https://www.nj.gov/education/sprreports/202324/District-Detail/21-5715.pdf</t>
  </si>
  <si>
    <t xml:space="preserve">• MI: MISchoolData.org dashboard — interactive Power BI report; subgroup data not extractable via automation in this session. Site requires manual filtering: District=63150, Report Category=Students with Disabilities.</t>
  </si>
  <si>
    <t xml:space="preserve">Threshold equivalence note: CA "Met or Exceeded Standard", TX "Meets Grade Level or Above", and NJ "Met or Exceeded Expectations (Level 4-5)" are roughly equivalent rigor. MI "Proficient or Advanced" is generally a lower bar; comparing absolute % across MI and the others would understate Troy's gap relative to peers.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</si>
</sst>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;[RED]\-0.0%;\–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0606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6E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7" min="6" style="0" width="14"/>
    <col collapsed="false" customWidth="true" hidden="false" outlineLevel="0" max="8" min="8" style="0" width="11"/>
    <col collapsed="false" customWidth="true" hidden="false" outlineLevel="0" max="10" min="9" style="0" width="14"/>
    <col collapsed="false" customWidth="true" hidden="false" outlineLevel="0" max="11" min="11" style="0" width="11"/>
    <col collapsed="false" customWidth="true" hidden="false" outlineLevel="0" max="12" min="12" style="0" width="60"/>
  </cols>
  <sheetData>
    <row r="1" customFormat="false" ht="17.35" hidden="false" customHeight="false" outlineLevel="0" collapsed="false">
      <c r="A1" s="1" t="s">
        <v>0</v>
      </c>
    </row>
    <row r="2" customFormat="false" ht="115.6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46.25" hidden="false" customHeight="false" outlineLevel="0" collapsed="false">
      <c r="A5" s="0" t="s">
        <v>14</v>
      </c>
      <c r="B5" s="0" t="s">
        <v>15</v>
      </c>
      <c r="C5" s="0" t="s">
        <v>16</v>
      </c>
      <c r="D5" s="0" t="s">
        <v>17</v>
      </c>
      <c r="E5" s="0" t="s">
        <v>18</v>
      </c>
      <c r="F5" s="4"/>
      <c r="G5" s="4"/>
      <c r="H5" s="4"/>
      <c r="I5" s="4"/>
      <c r="J5" s="4"/>
      <c r="K5" s="4"/>
      <c r="L5" s="5" t="s">
        <v>19</v>
      </c>
    </row>
    <row r="6" customFormat="false" ht="23.85" hidden="false" customHeight="false" outlineLevel="0" collapsed="false">
      <c r="A6" s="0" t="s">
        <v>20</v>
      </c>
      <c r="B6" s="0" t="s">
        <v>21</v>
      </c>
      <c r="C6" s="0" t="s">
        <v>22</v>
      </c>
      <c r="D6" s="0" t="s">
        <v>17</v>
      </c>
      <c r="E6" s="0" t="s">
        <v>23</v>
      </c>
      <c r="F6" s="4" t="n">
        <v>0.8052</v>
      </c>
      <c r="G6" s="4" t="n">
        <v>0.3936</v>
      </c>
      <c r="H6" s="6" t="n">
        <f aca="false">F6-G6</f>
        <v>0.4116</v>
      </c>
      <c r="I6" s="4" t="n">
        <v>0.7815</v>
      </c>
      <c r="J6" s="4" t="n">
        <v>0.3541</v>
      </c>
      <c r="K6" s="6" t="n">
        <f aca="false">I6-J6</f>
        <v>0.4274</v>
      </c>
      <c r="L6" s="5" t="s">
        <v>24</v>
      </c>
    </row>
    <row r="7" customFormat="false" ht="23.85" hidden="false" customHeight="false" outlineLevel="0" collapsed="false">
      <c r="A7" s="0" t="s">
        <v>25</v>
      </c>
      <c r="B7" s="0" t="s">
        <v>21</v>
      </c>
      <c r="C7" s="0" t="s">
        <v>22</v>
      </c>
      <c r="D7" s="0" t="s">
        <v>17</v>
      </c>
      <c r="E7" s="0" t="s">
        <v>23</v>
      </c>
      <c r="F7" s="4" t="n">
        <v>0.6917</v>
      </c>
      <c r="G7" s="4" t="n">
        <v>0.1923</v>
      </c>
      <c r="H7" s="6" t="n">
        <f aca="false">F7-G7</f>
        <v>0.4994</v>
      </c>
      <c r="I7" s="4" t="n">
        <v>0.6204</v>
      </c>
      <c r="J7" s="4" t="n">
        <v>0.1752</v>
      </c>
      <c r="K7" s="6" t="n">
        <f aca="false">I7-J7</f>
        <v>0.4452</v>
      </c>
      <c r="L7" s="5" t="s">
        <v>26</v>
      </c>
    </row>
    <row r="8" customFormat="false" ht="23.85" hidden="false" customHeight="false" outlineLevel="0" collapsed="false">
      <c r="A8" s="0" t="s">
        <v>27</v>
      </c>
      <c r="B8" s="0" t="s">
        <v>21</v>
      </c>
      <c r="C8" s="0" t="s">
        <v>22</v>
      </c>
      <c r="D8" s="0" t="s">
        <v>17</v>
      </c>
      <c r="E8" s="0" t="s">
        <v>23</v>
      </c>
      <c r="F8" s="4" t="n">
        <v>0.7604</v>
      </c>
      <c r="G8" s="4" t="n">
        <v>0.2854</v>
      </c>
      <c r="H8" s="6" t="n">
        <f aca="false">F8-G8</f>
        <v>0.475</v>
      </c>
      <c r="I8" s="4" t="n">
        <v>0.7217</v>
      </c>
      <c r="J8" s="4" t="n">
        <v>0.2422</v>
      </c>
      <c r="K8" s="6" t="n">
        <f aca="false">I8-J8</f>
        <v>0.4795</v>
      </c>
      <c r="L8" s="5" t="s">
        <v>28</v>
      </c>
    </row>
    <row r="9" customFormat="false" ht="23.85" hidden="false" customHeight="false" outlineLevel="0" collapsed="false">
      <c r="A9" s="0" t="s">
        <v>29</v>
      </c>
      <c r="B9" s="0" t="s">
        <v>21</v>
      </c>
      <c r="C9" s="0" t="s">
        <v>22</v>
      </c>
      <c r="D9" s="0" t="s">
        <v>17</v>
      </c>
      <c r="E9" s="0" t="s">
        <v>23</v>
      </c>
      <c r="F9" s="4" t="n">
        <v>0.7948</v>
      </c>
      <c r="G9" s="4" t="n">
        <v>0.2796</v>
      </c>
      <c r="H9" s="6" t="n">
        <f aca="false">F9-G9</f>
        <v>0.5152</v>
      </c>
      <c r="I9" s="4" t="n">
        <v>0.7388</v>
      </c>
      <c r="J9" s="4" t="n">
        <v>0.25</v>
      </c>
      <c r="K9" s="6" t="n">
        <f aca="false">I9-J9</f>
        <v>0.4888</v>
      </c>
      <c r="L9" s="5" t="s">
        <v>30</v>
      </c>
    </row>
    <row r="10" customFormat="false" ht="23.85" hidden="false" customHeight="false" outlineLevel="0" collapsed="false">
      <c r="A10" s="0" t="s">
        <v>31</v>
      </c>
      <c r="B10" s="0" t="s">
        <v>32</v>
      </c>
      <c r="C10" s="0" t="s">
        <v>33</v>
      </c>
      <c r="D10" s="0" t="s">
        <v>17</v>
      </c>
      <c r="E10" s="0" t="s">
        <v>34</v>
      </c>
      <c r="F10" s="4" t="n">
        <v>0.84</v>
      </c>
      <c r="G10" s="4" t="n">
        <v>0.44</v>
      </c>
      <c r="H10" s="6" t="n">
        <f aca="false">F10-G10</f>
        <v>0.4</v>
      </c>
      <c r="I10" s="4" t="n">
        <v>0.77</v>
      </c>
      <c r="J10" s="4" t="n">
        <v>0.43</v>
      </c>
      <c r="K10" s="6" t="n">
        <f aca="false">I10-J10</f>
        <v>0.34</v>
      </c>
      <c r="L10" s="5" t="s">
        <v>35</v>
      </c>
    </row>
    <row r="11" customFormat="false" ht="23.85" hidden="false" customHeight="false" outlineLevel="0" collapsed="false">
      <c r="A11" s="0" t="s">
        <v>36</v>
      </c>
      <c r="B11" s="0" t="s">
        <v>37</v>
      </c>
      <c r="C11" s="0" t="s">
        <v>38</v>
      </c>
      <c r="D11" s="0" t="s">
        <v>17</v>
      </c>
      <c r="E11" s="0" t="s">
        <v>39</v>
      </c>
      <c r="F11" s="4" t="n">
        <v>0.759</v>
      </c>
      <c r="G11" s="4" t="n">
        <v>0.22</v>
      </c>
      <c r="H11" s="6" t="n">
        <f aca="false">F11-G11</f>
        <v>0.539</v>
      </c>
      <c r="I11" s="4" t="n">
        <v>0.702</v>
      </c>
      <c r="J11" s="4" t="n">
        <v>0.203</v>
      </c>
      <c r="K11" s="6" t="n">
        <f aca="false">I11-J11</f>
        <v>0.499</v>
      </c>
      <c r="L11" s="5" t="s">
        <v>40</v>
      </c>
    </row>
    <row r="12" customFormat="false" ht="15" hidden="false" customHeight="true" outlineLevel="0" collapsed="false">
      <c r="A12" s="7" t="s">
        <v>41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customFormat="false" ht="15" hidden="false" customHeight="true" outlineLevel="0" collapsed="false">
      <c r="A13" s="8" t="s">
        <v>42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customFormat="false" ht="15" hidden="false" customHeight="true" outlineLevel="0" collapsed="false">
      <c r="A14" s="8" t="s">
        <v>43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customFormat="false" ht="15" hidden="false" customHeight="true" outlineLevel="0" collapsed="false">
      <c r="A15" s="8" t="s">
        <v>44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15" hidden="false" customHeight="true" outlineLevel="0" collapsed="false">
      <c r="A16" s="8" t="s">
        <v>45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customFormat="false" ht="23.85" hidden="false" customHeight="true" outlineLevel="0" collapsed="false">
      <c r="A18" s="8" t="s">
        <v>46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</sheetData>
  <autoFilter ref="A4:L11"/>
  <mergeCells count="7">
    <mergeCell ref="A12:L12"/>
    <mergeCell ref="A13:L13"/>
    <mergeCell ref="A14:L14"/>
    <mergeCell ref="A15:L15"/>
    <mergeCell ref="A16:L16"/>
    <mergeCell ref="A17:L17"/>
    <mergeCell ref="A18:L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2026-04-26T13:54:28Z</dcterms:created>
  <dc:creator>openpyxl</dc:creator>
  <dc:description/>
  <dc:language>en-US</dc:language>
  <cp:lastModifiedBy/>
  <dcterms:modified xsi:type="dcterms:W3CDTF">2026-04-26T13:54:28Z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